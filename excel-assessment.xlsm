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t\"/>
    </mc:Choice>
  </mc:AlternateContent>
  <xr:revisionPtr revIDLastSave="0" documentId="13_ncr:1_{930C3CAC-E18A-49CE-AB22-2A3045E71F79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D21" i="19"/>
  <c r="D13" i="19"/>
  <c r="D14" i="19"/>
  <c r="D15" i="19"/>
  <c r="D16" i="19"/>
  <c r="D17" i="19"/>
  <c r="D18" i="19"/>
  <c r="D19" i="19"/>
  <c r="D20" i="19"/>
  <c r="D12" i="19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C6" i="18"/>
  <c r="D6" i="18"/>
  <c r="E6" i="18"/>
  <c r="F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<sst xmlns="http://schemas.openxmlformats.org/spreadsheetml/2006/main" count="408" uniqueCount="185">
  <si>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</si>
  <si>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</si>
  <si>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</si>
  <si>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</si>
  <si>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</si>
  <si>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</si>
  <si>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</si>
  <si>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</si>
  <si>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</si>
  <si>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</si>
  <si>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</si>
  <si>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</si>
  <si>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</si>
  <si>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</si>
  <si>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</si>
  <si>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</si>
  <si>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</si>
  <si>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</si>
  <si>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</si>
  <si>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</si>
  <si>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</si>
  <si>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</si>
  <si>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</si>
  <si>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</si>
  <si>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</si>
  <si>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</si>
  <si>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</si>
  <si>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</si>
  <si>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</si>
  <si>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</si>
  <si>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</si>
  <si>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</si>
  <si>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</si>
  <si>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</si>
  <si>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</si>
  <si>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</si>
  <si>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</si>
  <si>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</si>
  <si>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</si>
  <si>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</si>
  <si>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</si>
  <si>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</si>
  <si>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</si>
  <si>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</si>
  <si>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</si>
  <si>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</si>
  <si>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</si>
  <si>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</si>
  <si>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</si>
  <si>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</si>
  <si>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</si>
  <si>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</si>
  <si>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</si>
  <si>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</si>
  <si>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</si>
  <si>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</si>
  <si>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</si>
  <si>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</si>
  <si>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</si>
  <si>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</si>
  <si>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</si>
  <si>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</si>
  <si>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</si>
  <si>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</si>
  <si>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</si>
  <si>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</si>
  <si>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</si>
  <si>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</si>
  <si>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</si>
  <si>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</si>
  <si>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</si>
  <si>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</si>
  <si>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</si>
  <si>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</si>
  <si>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</si>
  <si>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</si>
  <si>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</si>
  <si>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</si>
  <si>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</si>
  <si>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</si>
  <si>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</si>
  <si>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</si>
  <si>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</si>
  <si>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</si>
  <si>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</si>
  <si>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</si>
  <si>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</si>
  <si>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</si>
  <si>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</si>
  <si>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</si>
  <si>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</si>
  <si>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</si>
  <si>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</si>
  <si>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</si>
  <si>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</si>
  <si>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</si>
  <si>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</si>
  <si>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</si>
  <si>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</si>
  <si>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</si>
  <si>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</si>
  <si>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</si>
  <si>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</si>
  <si>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</si>
  <si>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</si>
  <si>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</si>
  <si>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</si>
  <si>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</si>
  <si>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</si>
  <si>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</si>
  <si>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</si>
  <si>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</si>
  <si>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</si>
  <si>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</si>
  <si>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</si>
  <si>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</si>
  <si>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</si>
  <si>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</si>
  <si>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</si>
  <si>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</si>
  <si>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</si>
  <si>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</si>
  <si>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</si>
  <si>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</si>
  <si>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</si>
  <si>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</si>
  <si>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</si>
  <si>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</si>
  <si>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</si>
  <si>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</si>
  <si>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</si>
  <si>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</si>
  <si>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</si>
  <si>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</si>
  <si>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</si>
  <si>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</si>
  <si>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</si>
  <si>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</si>
  <si>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</si>
  <si>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</si>
  <si>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</si>
  <si>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</si>
  <si>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</si>
  <si>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</si>
  <si>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</si>
  <si>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</si>
  <si>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</si>
  <si>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</si>
  <si>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</si>
  <si>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</si>
  <si>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</si>
  <si>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</si>
  <si>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</si>
  <si>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</si>
  <si>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</si>
  <si>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</si>
  <si>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</si>
  <si>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</si>
  <si>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</si>
  <si>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</si>
  <si>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</si>
  <si>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</si>
  <si>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</si>
  <si>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</si>
  <si>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</si>
  <si>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</si>
  <si>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</si>
  <si>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</si>
  <si>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</si>
  <si>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</si>
  <si>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</si>
  <si>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</si>
  <si>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</si>
  <si>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</si>
  <si>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</si>
  <si>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</si>
  <si>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conditional formating--highlights cell-equal to 0/-1</t>
  </si>
  <si>
    <t>view==freeze==freeze Top Row</t>
  </si>
  <si>
    <t>SUMIF(H2:H40,"&gt;20")</t>
  </si>
  <si>
    <t>number formet column</t>
  </si>
  <si>
    <t>Data==Text to column</t>
  </si>
  <si>
    <t>copy data on col_1 column and apply text to colum==split "-"</t>
  </si>
  <si>
    <t>adjusted column</t>
  </si>
  <si>
    <t>SUM(IFERROR(C12:C21,20))</t>
  </si>
  <si>
    <t>VLOOKUP(VLOOKUP(A23,($M$10:$N$18),2,0),$A$10:$J$18,MATCH(VLOOKUP(B23,($M$10:$N$18),2,0),$A$9:$J$9,0),0)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</si>
</sst>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2" fontId="3" fillId="0" borderId="7" xfId="0" applyNumberFormat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7" sqref="A27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54</v>
      </c>
      <c r="B11" s="35">
        <v>30</v>
      </c>
    </row>
    <row r="12" spans="1:3" x14ac:dyDescent="0.3">
      <c r="A12" s="33" t="s">
        <v>55</v>
      </c>
      <c r="B12" s="35">
        <v>10</v>
      </c>
    </row>
    <row r="13" spans="1:3" x14ac:dyDescent="0.3">
      <c r="A13" s="33" t="s">
        <v>84</v>
      </c>
      <c r="B13" s="35">
        <v>20</v>
      </c>
    </row>
    <row r="14" spans="1:3" x14ac:dyDescent="0.3">
      <c r="A14" s="33" t="s">
        <v>97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L1" zoomScaleNormal="100" workbookViewId="0">
      <pane ySplit="1" topLeftCell="A2" activePane="bottomLeft" state="frozen"/>
      <selection pane="bottomLeft" activeCell="W7" sqref="W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4" bestFit="1" customWidth="1"/>
    <col min="25" max="16384" width="9" style="1"/>
  </cols>
  <sheetData>
    <row r="1" spans="1:24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3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G2:W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2" sqref="C12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2" t="s">
        <v>176</v>
      </c>
      <c r="E3" s="1">
        <v>5</v>
      </c>
    </row>
    <row r="4" spans="1:5" x14ac:dyDescent="0.3">
      <c r="A4" s="6">
        <v>2</v>
      </c>
      <c r="B4" s="2" t="s">
        <v>45</v>
      </c>
      <c r="C4" s="2" t="s">
        <v>177</v>
      </c>
      <c r="E4" s="1">
        <v>5</v>
      </c>
    </row>
    <row r="5" spans="1:5" x14ac:dyDescent="0.3">
      <c r="A5" s="6">
        <v>3</v>
      </c>
      <c r="B5" s="2" t="s">
        <v>103</v>
      </c>
      <c r="C5" s="32" t="s">
        <v>178</v>
      </c>
      <c r="E5" s="1">
        <v>10</v>
      </c>
    </row>
    <row r="6" spans="1:5" x14ac:dyDescent="0.3">
      <c r="A6" s="6">
        <v>4</v>
      </c>
      <c r="B6" s="2" t="s">
        <v>105</v>
      </c>
      <c r="C6" s="2" t="s">
        <v>179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H26" sqref="H2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54</v>
      </c>
      <c r="B1" s="39" t="s">
        <v>163</v>
      </c>
    </row>
    <row r="2" spans="1:7" s="39" customFormat="1" ht="21" x14ac:dyDescent="0.4">
      <c r="B2" s="39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1">
        <f>VLOOKUP($A6,Dataset!$A$2:$X$40,MATCH(B$5,Dataset!$A$1:$X$1,0),0)</f>
        <v>2.7</v>
      </c>
      <c r="C6" s="11">
        <f>VLOOKUP($A6,Dataset!$A$2:$X$40,MATCH(C$5,Dataset!$A$1:$X$1,0),0)</f>
        <v>7.6</v>
      </c>
      <c r="D6" s="11">
        <f>VLOOKUP($A6,Dataset!$A$2:$X$40,MATCH(D$5,Dataset!$A$1:$X$1,0),0)</f>
        <v>4.2</v>
      </c>
      <c r="E6" s="11">
        <f>VLOOKUP($A6,Dataset!$A$2:$X$40,MATCH(E$5,Dataset!$A$1:$X$1,0),0)</f>
        <v>8.9</v>
      </c>
      <c r="F6" s="11">
        <f>VLOOKUP($A6,Dataset!$A$2:$X$40,MATCH(F$5,Dataset!$A$1:$X$1,0),0)</f>
        <v>4.2</v>
      </c>
    </row>
    <row r="7" spans="1:7" ht="14.4" x14ac:dyDescent="0.3">
      <c r="A7" s="7" t="s">
        <v>4</v>
      </c>
      <c r="B7" s="11">
        <f>VLOOKUP($A7,Dataset!$A$2:$X$40,MATCH(B$5,Dataset!$A$1:$X$1,0),0)</f>
        <v>2.7</v>
      </c>
      <c r="C7" s="11">
        <f>VLOOKUP($A7,Dataset!$A$2:$X$40,MATCH(C$5,Dataset!$A$1:$X$1,0),0)</f>
        <v>7.6</v>
      </c>
      <c r="D7" s="11">
        <f>VLOOKUP($A7,Dataset!$A$2:$X$40,MATCH(D$5,Dataset!$A$1:$X$1,0),0)</f>
        <v>4.2</v>
      </c>
      <c r="E7" s="11">
        <f>VLOOKUP($A7,Dataset!$A$2:$X$40,MATCH(E$5,Dataset!$A$1:$X$1,0),0)</f>
        <v>8.9</v>
      </c>
      <c r="F7" s="11">
        <f>VLOOKUP($A7,Dataset!$A$2:$X$40,MATCH(F$5,Dataset!$A$1:$X$1,0),0)</f>
        <v>4.2</v>
      </c>
    </row>
    <row r="8" spans="1:7" ht="14.4" x14ac:dyDescent="0.3">
      <c r="A8" s="7" t="s">
        <v>7</v>
      </c>
      <c r="B8" s="11">
        <f>VLOOKUP($A8,Dataset!$A$2:$X$40,MATCH(B$5,Dataset!$A$1:$X$1,0),0)</f>
        <v>3.6</v>
      </c>
      <c r="C8" s="11">
        <f>VLOOKUP($A8,Dataset!$A$2:$X$40,MATCH(C$5,Dataset!$A$1:$X$1,0),0)</f>
        <v>11.1</v>
      </c>
      <c r="D8" s="11">
        <f>VLOOKUP($A8,Dataset!$A$2:$X$40,MATCH(D$5,Dataset!$A$1:$X$1,0),0)</f>
        <v>5.8</v>
      </c>
      <c r="E8" s="11">
        <f>VLOOKUP($A8,Dataset!$A$2:$X$40,MATCH(E$5,Dataset!$A$1:$X$1,0),0)</f>
        <v>12.2</v>
      </c>
      <c r="F8" s="11">
        <f>VLOOKUP($A8,Dataset!$A$2:$X$40,MATCH(F$5,Dataset!$A$1:$X$1,0),0)</f>
        <v>5.8</v>
      </c>
    </row>
    <row r="9" spans="1:7" ht="14.4" x14ac:dyDescent="0.3">
      <c r="A9" s="7" t="s">
        <v>8</v>
      </c>
      <c r="B9" s="11">
        <f>VLOOKUP($A9,Dataset!$A$2:$X$40,MATCH(B$5,Dataset!$A$1:$X$1,0),0)</f>
        <v>4.9000000000000004</v>
      </c>
      <c r="C9" s="11">
        <f>VLOOKUP($A9,Dataset!$A$2:$X$40,MATCH(C$5,Dataset!$A$1:$X$1,0),0)</f>
        <v>13.3</v>
      </c>
      <c r="D9" s="11">
        <f>VLOOKUP($A9,Dataset!$A$2:$X$40,MATCH(D$5,Dataset!$A$1:$X$1,0),0)</f>
        <v>8.1</v>
      </c>
      <c r="E9" s="11">
        <f>VLOOKUP($A9,Dataset!$A$2:$X$40,MATCH(E$5,Dataset!$A$1:$X$1,0),0)</f>
        <v>17</v>
      </c>
      <c r="F9" s="11">
        <f>VLOOKUP($A9,Dataset!$A$2:$X$40,MATCH(F$5,Dataset!$A$1:$X$1,0),0)</f>
        <v>8.1</v>
      </c>
    </row>
    <row r="10" spans="1:7" ht="14.4" x14ac:dyDescent="0.3">
      <c r="A10" s="7" t="s">
        <v>11</v>
      </c>
      <c r="B10" s="11">
        <f>VLOOKUP($A10,Dataset!$A$2:$X$40,MATCH(B$5,Dataset!$A$1:$X$1,0),0)</f>
        <v>9.4</v>
      </c>
      <c r="C10" s="11">
        <f>VLOOKUP($A10,Dataset!$A$2:$X$40,MATCH(C$5,Dataset!$A$1:$X$1,0),0)</f>
        <v>28.3</v>
      </c>
      <c r="D10" s="11">
        <f>VLOOKUP($A10,Dataset!$A$2:$X$40,MATCH(D$5,Dataset!$A$1:$X$1,0),0)</f>
        <v>16.100000000000001</v>
      </c>
      <c r="E10" s="11">
        <f>VLOOKUP($A10,Dataset!$A$2:$X$40,MATCH(E$5,Dataset!$A$1:$X$1,0),0)</f>
        <v>32.799999999999997</v>
      </c>
      <c r="F10" s="11">
        <f>VLOOKUP($A10,Dataset!$A$2:$X$40,MATCH(F$5,Dataset!$A$1:$X$1,0),0)</f>
        <v>16.100000000000001</v>
      </c>
    </row>
    <row r="11" spans="1:7" ht="14.4" x14ac:dyDescent="0.3">
      <c r="A11" s="7" t="s">
        <v>12</v>
      </c>
      <c r="B11" s="11">
        <f>VLOOKUP($A11,Dataset!$A$2:$X$40,MATCH(B$5,Dataset!$A$1:$X$1,0),0)</f>
        <v>11.6</v>
      </c>
      <c r="C11" s="11">
        <f>VLOOKUP($A11,Dataset!$A$2:$X$40,MATCH(C$5,Dataset!$A$1:$X$1,0),0)</f>
        <v>35.200000000000003</v>
      </c>
      <c r="D11" s="11">
        <f>VLOOKUP($A11,Dataset!$A$2:$X$40,MATCH(D$5,Dataset!$A$1:$X$1,0),0)</f>
        <v>21.3</v>
      </c>
      <c r="E11" s="11">
        <f>VLOOKUP($A11,Dataset!$A$2:$X$40,MATCH(E$5,Dataset!$A$1:$X$1,0),0)</f>
        <v>43</v>
      </c>
      <c r="F11" s="11">
        <f>VLOOKUP($A11,Dataset!$A$2:$X$40,MATCH(F$5,Dataset!$A$1:$X$1,0),0)</f>
        <v>21.3</v>
      </c>
    </row>
    <row r="12" spans="1:7" ht="14.4" x14ac:dyDescent="0.3">
      <c r="A12" s="7" t="s">
        <v>14</v>
      </c>
      <c r="B12" s="11">
        <f>VLOOKUP($A12,Dataset!$A$2:$X$40,MATCH(B$5,Dataset!$A$1:$X$1,0),0)</f>
        <v>18.399999999999999</v>
      </c>
      <c r="C12" s="11">
        <f>VLOOKUP($A12,Dataset!$A$2:$X$40,MATCH(C$5,Dataset!$A$1:$X$1,0),0)</f>
        <v>55.6</v>
      </c>
      <c r="D12" s="11">
        <f>VLOOKUP($A12,Dataset!$A$2:$X$40,MATCH(D$5,Dataset!$A$1:$X$1,0),0)</f>
        <v>33.799999999999997</v>
      </c>
      <c r="E12" s="11">
        <f>VLOOKUP($A12,Dataset!$A$2:$X$40,MATCH(E$5,Dataset!$A$1:$X$1,0),0)</f>
        <v>67.900000000000006</v>
      </c>
      <c r="F12" s="11">
        <f>VLOOKUP($A12,Dataset!$A$2:$X$40,MATCH(F$5,Dataset!$A$1:$X$1,0),0)</f>
        <v>33.799999999999997</v>
      </c>
    </row>
    <row r="13" spans="1:7" ht="14.4" x14ac:dyDescent="0.3">
      <c r="A13" s="7" t="s">
        <v>15</v>
      </c>
      <c r="B13" s="11">
        <f>VLOOKUP($A13,Dataset!$A$2:$X$40,MATCH(B$5,Dataset!$A$1:$X$1,0),0)</f>
        <v>0</v>
      </c>
      <c r="C13" s="11">
        <f>VLOOKUP($A13,Dataset!$A$2:$X$40,MATCH(C$5,Dataset!$A$1:$X$1,0),0)</f>
        <v>0</v>
      </c>
      <c r="D13" s="11">
        <f>VLOOKUP($A13,Dataset!$A$2:$X$40,MATCH(D$5,Dataset!$A$1:$X$1,0),0)</f>
        <v>0</v>
      </c>
      <c r="E13" s="11">
        <f>VLOOKUP($A13,Dataset!$A$2:$X$40,MATCH(E$5,Dataset!$A$1:$X$1,0),0)</f>
        <v>0</v>
      </c>
      <c r="F13" s="11">
        <f>VLOOKUP($A13,Dataset!$A$2:$X$40,MATCH(F$5,Dataset!$A$1:$X$1,0),0)</f>
        <v>0</v>
      </c>
    </row>
    <row r="14" spans="1:7" ht="14.4" x14ac:dyDescent="0.3">
      <c r="A14" s="7" t="s">
        <v>16</v>
      </c>
      <c r="B14" s="11">
        <f>VLOOKUP($A14,Dataset!$A$2:$X$40,MATCH(B$5,Dataset!$A$1:$X$1,0),0)</f>
        <v>21.9</v>
      </c>
      <c r="C14" s="11">
        <f>VLOOKUP($A14,Dataset!$A$2:$X$40,MATCH(C$5,Dataset!$A$1:$X$1,0),0)</f>
        <v>61.5</v>
      </c>
      <c r="D14" s="11">
        <f>VLOOKUP($A14,Dataset!$A$2:$X$40,MATCH(D$5,Dataset!$A$1:$X$1,0),0)</f>
        <v>40.1</v>
      </c>
      <c r="E14" s="11">
        <f>VLOOKUP($A14,Dataset!$A$2:$X$40,MATCH(E$5,Dataset!$A$1:$X$1,0),0)</f>
        <v>76.599999999999994</v>
      </c>
      <c r="F14" s="11">
        <f>VLOOKUP($A14,Dataset!$A$2:$X$40,MATCH(F$5,Dataset!$A$1:$X$1,0),0)</f>
        <v>40.1</v>
      </c>
    </row>
    <row r="15" spans="1:7" ht="14.4" x14ac:dyDescent="0.3">
      <c r="A15" s="7" t="s">
        <v>18</v>
      </c>
      <c r="B15" s="11">
        <f>VLOOKUP($A15,Dataset!$A$2:$X$40,MATCH(B$5,Dataset!$A$1:$X$1,0),0)</f>
        <v>26.8</v>
      </c>
      <c r="C15" s="11">
        <f>VLOOKUP($A15,Dataset!$A$2:$X$40,MATCH(C$5,Dataset!$A$1:$X$1,0),0)</f>
        <v>79.599999999999994</v>
      </c>
      <c r="D15" s="11">
        <f>VLOOKUP($A15,Dataset!$A$2:$X$40,MATCH(D$5,Dataset!$A$1:$X$1,0),0)</f>
        <v>47.9</v>
      </c>
      <c r="E15" s="11">
        <f>VLOOKUP($A15,Dataset!$A$2:$X$40,MATCH(E$5,Dataset!$A$1:$X$1,0),0)</f>
        <v>96.8</v>
      </c>
      <c r="F15" s="11">
        <f>VLOOKUP($A15,Dataset!$A$2:$X$40,MATCH(F$5,Dataset!$A$1:$X$1,0),0)</f>
        <v>47.9</v>
      </c>
    </row>
    <row r="16" spans="1:7" ht="14.4" x14ac:dyDescent="0.3">
      <c r="A16" s="7" t="s">
        <v>20</v>
      </c>
      <c r="B16" s="11">
        <f>VLOOKUP($A16,Dataset!$A$2:$X$40,MATCH(B$5,Dataset!$A$1:$X$1,0),0)</f>
        <v>28.5</v>
      </c>
      <c r="C16" s="11">
        <f>VLOOKUP($A16,Dataset!$A$2:$X$40,MATCH(C$5,Dataset!$A$1:$X$1,0),0)</f>
        <v>85.4</v>
      </c>
      <c r="D16" s="11">
        <f>VLOOKUP($A16,Dataset!$A$2:$X$40,MATCH(D$5,Dataset!$A$1:$X$1,0),0)</f>
        <v>52.3</v>
      </c>
      <c r="E16" s="11">
        <f>VLOOKUP($A16,Dataset!$A$2:$X$40,MATCH(E$5,Dataset!$A$1:$X$1,0),0)</f>
        <v>106.1</v>
      </c>
      <c r="F16" s="11">
        <f>VLOOKUP($A16,Dataset!$A$2:$X$40,MATCH(F$5,Dataset!$A$1:$X$1,0),0)</f>
        <v>52.3</v>
      </c>
    </row>
    <row r="17" spans="1:6" ht="14.4" x14ac:dyDescent="0.3">
      <c r="A17" s="7" t="s">
        <v>22</v>
      </c>
      <c r="B17" s="11">
        <f>VLOOKUP($A17,Dataset!$A$2:$X$40,MATCH(B$5,Dataset!$A$1:$X$1,0),0)</f>
        <v>30.7</v>
      </c>
      <c r="C17" s="11">
        <f>VLOOKUP($A17,Dataset!$A$2:$X$40,MATCH(C$5,Dataset!$A$1:$X$1,0),0)</f>
        <v>92.1</v>
      </c>
      <c r="D17" s="11">
        <f>VLOOKUP($A17,Dataset!$A$2:$X$40,MATCH(D$5,Dataset!$A$1:$X$1,0),0)</f>
        <v>57</v>
      </c>
      <c r="E17" s="11">
        <f>VLOOKUP($A17,Dataset!$A$2:$X$40,MATCH(E$5,Dataset!$A$1:$X$1,0),0)</f>
        <v>115.1</v>
      </c>
      <c r="F17" s="11">
        <f>VLOOKUP($A17,Dataset!$A$2:$X$40,MATCH(F$5,Dataset!$A$1:$X$1,0),0)</f>
        <v>57</v>
      </c>
    </row>
    <row r="18" spans="1:6" ht="14.4" x14ac:dyDescent="0.3">
      <c r="A18" s="7" t="s">
        <v>23</v>
      </c>
      <c r="B18" s="11">
        <f>VLOOKUP($A18,Dataset!$A$2:$X$40,MATCH(B$5,Dataset!$A$1:$X$1,0),0)</f>
        <v>33.799999999999997</v>
      </c>
      <c r="C18" s="11">
        <f>VLOOKUP($A18,Dataset!$A$2:$X$40,MATCH(C$5,Dataset!$A$1:$X$1,0),0)</f>
        <v>101.3</v>
      </c>
      <c r="D18" s="11">
        <f>VLOOKUP($A18,Dataset!$A$2:$X$40,MATCH(D$5,Dataset!$A$1:$X$1,0),0)</f>
        <v>61.4</v>
      </c>
      <c r="E18" s="11">
        <f>VLOOKUP($A18,Dataset!$A$2:$X$40,MATCH(E$5,Dataset!$A$1:$X$1,0),0)</f>
        <v>124.4</v>
      </c>
      <c r="F18" s="11">
        <f>VLOOKUP($A18,Dataset!$A$2:$X$40,MATCH(F$5,Dataset!$A$1:$X$1,0),0)</f>
        <v>61.4</v>
      </c>
    </row>
    <row r="19" spans="1:6" ht="14.4" x14ac:dyDescent="0.3">
      <c r="A19" s="7" t="s">
        <v>24</v>
      </c>
      <c r="B19" s="11">
        <f>VLOOKUP($A19,Dataset!$A$2:$X$40,MATCH(B$5,Dataset!$A$1:$X$1,0),0)</f>
        <v>34.700000000000003</v>
      </c>
      <c r="C19" s="11">
        <f>VLOOKUP($A19,Dataset!$A$2:$X$40,MATCH(C$5,Dataset!$A$1:$X$1,0),0)</f>
        <v>106.1</v>
      </c>
      <c r="D19" s="11">
        <f>VLOOKUP($A19,Dataset!$A$2:$X$40,MATCH(D$5,Dataset!$A$1:$X$1,0),0)</f>
        <v>63.6</v>
      </c>
      <c r="E19" s="11">
        <f>VLOOKUP($A19,Dataset!$A$2:$X$40,MATCH(E$5,Dataset!$A$1:$X$1,0),0)</f>
        <v>128.6</v>
      </c>
      <c r="F19" s="11">
        <f>VLOOKUP($A19,Dataset!$A$2:$X$40,MATCH(F$5,Dataset!$A$1:$X$1,0),0)</f>
        <v>63.6</v>
      </c>
    </row>
    <row r="20" spans="1:6" ht="14.4" x14ac:dyDescent="0.3">
      <c r="A20" s="7" t="s">
        <v>28</v>
      </c>
      <c r="B20" s="11">
        <f>VLOOKUP($A20,Dataset!$A$2:$X$40,MATCH(B$5,Dataset!$A$1:$X$1,0),0)</f>
        <v>0</v>
      </c>
      <c r="C20" s="11">
        <f>VLOOKUP($A20,Dataset!$A$2:$X$40,MATCH(C$5,Dataset!$A$1:$X$1,0),0)</f>
        <v>0</v>
      </c>
      <c r="D20" s="11">
        <f>VLOOKUP($A20,Dataset!$A$2:$X$40,MATCH(D$5,Dataset!$A$1:$X$1,0),0)</f>
        <v>0</v>
      </c>
      <c r="E20" s="11">
        <f>VLOOKUP($A20,Dataset!$A$2:$X$40,MATCH(E$5,Dataset!$A$1:$X$1,0),0)</f>
        <v>0</v>
      </c>
      <c r="F20" s="11">
        <f>VLOOKUP($A20,Dataset!$A$2:$X$40,MATCH(F$5,Dataset!$A$1:$X$1,0),0)</f>
        <v>0</v>
      </c>
    </row>
    <row r="21" spans="1:6" ht="14.4" x14ac:dyDescent="0.3">
      <c r="A21" s="7" t="s">
        <v>56</v>
      </c>
      <c r="B21" s="11">
        <f>VLOOKUP($A21,Dataset!$A$2:$X$40,MATCH(B$5,Dataset!$A$1:$X$1,0),0)</f>
        <v>41.3</v>
      </c>
      <c r="C21" s="11">
        <f>VLOOKUP($A21,Dataset!$A$2:$X$40,MATCH(C$5,Dataset!$A$1:$X$1,0),0)</f>
        <v>124.4</v>
      </c>
      <c r="D21" s="11">
        <f>VLOOKUP($A21,Dataset!$A$2:$X$40,MATCH(D$5,Dataset!$A$1:$X$1,0),0)</f>
        <v>75</v>
      </c>
      <c r="E21" s="11">
        <f>VLOOKUP($A21,Dataset!$A$2:$X$40,MATCH(E$5,Dataset!$A$1:$X$1,0),0)</f>
        <v>151.5</v>
      </c>
      <c r="F21" s="11">
        <f>VLOOKUP($A21,Dataset!$A$2:$X$40,MATCH(F$5,Dataset!$A$1:$X$1,0),0)</f>
        <v>75</v>
      </c>
    </row>
    <row r="22" spans="1:6" ht="14.4" x14ac:dyDescent="0.3">
      <c r="A22" s="7" t="s">
        <v>57</v>
      </c>
      <c r="B22" s="11">
        <f>VLOOKUP($A22,Dataset!$A$2:$X$40,MATCH(B$5,Dataset!$A$1:$X$1,0),0)</f>
        <v>-1</v>
      </c>
      <c r="C22" s="11">
        <f>VLOOKUP($A22,Dataset!$A$2:$X$40,MATCH(C$5,Dataset!$A$1:$X$1,0),0)</f>
        <v>-1</v>
      </c>
      <c r="D22" s="11">
        <f>VLOOKUP($A22,Dataset!$A$2:$X$40,MATCH(D$5,Dataset!$A$1:$X$1,0),0)</f>
        <v>-1</v>
      </c>
      <c r="E22" s="11">
        <f>VLOOKUP($A22,Dataset!$A$2:$X$40,MATCH(E$5,Dataset!$A$1:$X$1,0),0)</f>
        <v>-1</v>
      </c>
      <c r="F22" s="11">
        <f>VLOOKUP($A22,Dataset!$A$2:$X$40,MATCH(F$5,Dataset!$A$1:$X$1,0),0)</f>
        <v>-1</v>
      </c>
    </row>
    <row r="23" spans="1:6" ht="14.4" x14ac:dyDescent="0.3">
      <c r="A23" s="7" t="s">
        <v>31</v>
      </c>
      <c r="B23" s="11">
        <f>VLOOKUP($A23,Dataset!$A$2:$X$40,MATCH(B$5,Dataset!$A$1:$X$1,0),0)</f>
        <v>45</v>
      </c>
      <c r="C23" s="11">
        <f>VLOOKUP($A23,Dataset!$A$2:$X$40,MATCH(C$5,Dataset!$A$1:$X$1,0),0)</f>
        <v>133.4</v>
      </c>
      <c r="D23" s="11">
        <f>VLOOKUP($A23,Dataset!$A$2:$X$40,MATCH(D$5,Dataset!$A$1:$X$1,0),0)</f>
        <v>79.400000000000006</v>
      </c>
      <c r="E23" s="11">
        <f>VLOOKUP($A23,Dataset!$A$2:$X$40,MATCH(E$5,Dataset!$A$1:$X$1,0),0)</f>
        <v>160.9</v>
      </c>
      <c r="F23" s="11">
        <f>VLOOKUP($A23,Dataset!$A$2:$X$40,MATCH(F$5,Dataset!$A$1:$X$1,0),0)</f>
        <v>79.400000000000006</v>
      </c>
    </row>
    <row r="24" spans="1:6" ht="14.4" x14ac:dyDescent="0.3">
      <c r="A24" s="7" t="s">
        <v>32</v>
      </c>
      <c r="B24" s="11">
        <f>VLOOKUP($A24,Dataset!$A$2:$X$40,MATCH(B$5,Dataset!$A$1:$X$1,0),0)</f>
        <v>-1</v>
      </c>
      <c r="C24" s="11">
        <f>VLOOKUP($A24,Dataset!$A$2:$X$40,MATCH(C$5,Dataset!$A$1:$X$1,0),0)</f>
        <v>-1</v>
      </c>
      <c r="D24" s="11">
        <f>VLOOKUP($A24,Dataset!$A$2:$X$40,MATCH(D$5,Dataset!$A$1:$X$1,0),0)</f>
        <v>-1</v>
      </c>
      <c r="E24" s="11">
        <f>VLOOKUP($A24,Dataset!$A$2:$X$40,MATCH(E$5,Dataset!$A$1:$X$1,0),0)</f>
        <v>-1</v>
      </c>
      <c r="F24" s="11">
        <f>VLOOKUP($A24,Dataset!$A$2:$X$40,MATCH(F$5,Dataset!$A$1:$X$1,0),0)</f>
        <v>-1</v>
      </c>
    </row>
    <row r="25" spans="1:6" ht="14.4" x14ac:dyDescent="0.3">
      <c r="A25" s="7" t="s">
        <v>34</v>
      </c>
      <c r="B25" s="11">
        <f>VLOOKUP($A25,Dataset!$A$2:$X$40,MATCH(B$5,Dataset!$A$1:$X$1,0),0)</f>
        <v>43.3</v>
      </c>
      <c r="C25" s="11">
        <f>VLOOKUP($A25,Dataset!$A$2:$X$40,MATCH(C$5,Dataset!$A$1:$X$1,0),0)</f>
        <v>128.6</v>
      </c>
      <c r="D25" s="11">
        <f>VLOOKUP($A25,Dataset!$A$2:$X$40,MATCH(D$5,Dataset!$A$1:$X$1,0),0)</f>
        <v>79.400000000000006</v>
      </c>
      <c r="E25" s="11">
        <f>VLOOKUP($A25,Dataset!$A$2:$X$40,MATCH(E$5,Dataset!$A$1:$X$1,0),0)</f>
        <v>160.9</v>
      </c>
      <c r="F25" s="11">
        <f>VLOOKUP($A25,Dataset!$A$2:$X$40,MATCH(F$5,Dataset!$A$1:$X$1,0),0)</f>
        <v>79.400000000000006</v>
      </c>
    </row>
    <row r="26" spans="1:6" ht="14.4" x14ac:dyDescent="0.3">
      <c r="A26" s="7" t="s">
        <v>37</v>
      </c>
      <c r="B26" s="11">
        <f>VLOOKUP($A26,Dataset!$A$2:$X$40,MATCH(B$5,Dataset!$A$1:$X$1,0),0)</f>
        <v>49.1</v>
      </c>
      <c r="C26" s="11">
        <f>VLOOKUP($A26,Dataset!$A$2:$X$40,MATCH(C$5,Dataset!$A$1:$X$1,0),0)</f>
        <v>146.80000000000001</v>
      </c>
      <c r="D26" s="11">
        <f>VLOOKUP($A26,Dataset!$A$2:$X$40,MATCH(D$5,Dataset!$A$1:$X$1,0),0)</f>
        <v>90.9</v>
      </c>
      <c r="E26" s="11">
        <f>VLOOKUP($A26,Dataset!$A$2:$X$40,MATCH(E$5,Dataset!$A$1:$X$1,0),0)</f>
        <v>183.5</v>
      </c>
      <c r="F26" s="11">
        <f>VLOOKUP($A26,Dataset!$A$2:$X$40,MATCH(F$5,Dataset!$A$1:$X$1,0),0)</f>
        <v>90.9</v>
      </c>
    </row>
    <row r="27" spans="1:6" ht="14.4" x14ac:dyDescent="0.3">
      <c r="A27" s="7" t="s">
        <v>39</v>
      </c>
      <c r="B27" s="11">
        <f>VLOOKUP($A27,Dataset!$A$2:$X$40,MATCH(B$5,Dataset!$A$1:$X$1,0),0)</f>
        <v>51.8</v>
      </c>
      <c r="C27" s="11">
        <f>VLOOKUP($A27,Dataset!$A$2:$X$40,MATCH(C$5,Dataset!$A$1:$X$1,0),0)</f>
        <v>156.4</v>
      </c>
      <c r="D27" s="11">
        <f>VLOOKUP($A27,Dataset!$A$2:$X$40,MATCH(D$5,Dataset!$A$1:$X$1,0),0)</f>
        <v>93.1</v>
      </c>
      <c r="E27" s="11">
        <f>VLOOKUP($A27,Dataset!$A$2:$X$40,MATCH(E$5,Dataset!$A$1:$X$1,0),0)</f>
        <v>188.1</v>
      </c>
      <c r="F27" s="11">
        <f>VLOOKUP($A27,Dataset!$A$2:$X$40,MATCH(F$5,Dataset!$A$1:$X$1,0),0)</f>
        <v>93.1</v>
      </c>
    </row>
    <row r="28" spans="1:6" ht="14.4" x14ac:dyDescent="0.3">
      <c r="A28" s="18" t="s">
        <v>81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4.4" x14ac:dyDescent="0.3">
      <c r="A29" s="18" t="s">
        <v>82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4" x14ac:dyDescent="0.3">
      <c r="A30" s="18" t="s">
        <v>83</v>
      </c>
      <c r="B30" s="45">
        <f>AVERAGE(B6:B27)</f>
        <v>20.827272727272728</v>
      </c>
      <c r="C30" s="45">
        <f t="shared" ref="C30:F30" si="2">AVERAGE(C6:C27)</f>
        <v>62.377272727272725</v>
      </c>
      <c r="D30" s="45">
        <f t="shared" si="2"/>
        <v>37.800000000000004</v>
      </c>
      <c r="E30" s="45">
        <f t="shared" si="2"/>
        <v>76.418181818181822</v>
      </c>
      <c r="F30" s="4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E7" sqref="E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55</v>
      </c>
      <c r="B1" s="39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1" t="s">
        <v>52</v>
      </c>
      <c r="B5" s="38" t="s">
        <v>180</v>
      </c>
    </row>
    <row r="6" spans="1:10" ht="18" x14ac:dyDescent="0.35">
      <c r="A6" s="41" t="s">
        <v>152</v>
      </c>
      <c r="B6" s="38" t="s">
        <v>181</v>
      </c>
    </row>
    <row r="7" spans="1:10" ht="18" x14ac:dyDescent="0.35">
      <c r="A7" s="41"/>
      <c r="B7" s="38"/>
    </row>
    <row r="9" spans="1:10" ht="23.4" x14ac:dyDescent="0.45">
      <c r="A9" s="17" t="s">
        <v>164</v>
      </c>
      <c r="I9" s="2"/>
      <c r="J9" s="2"/>
    </row>
    <row r="10" spans="1:10" x14ac:dyDescent="0.3">
      <c r="A10" s="31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">
      <c r="A16" s="7" t="s">
        <v>120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4" zoomScaleNormal="100" workbookViewId="0">
      <selection activeCell="E17" sqref="E1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0" t="s">
        <v>84</v>
      </c>
      <c r="B1" s="39" t="s">
        <v>166</v>
      </c>
    </row>
    <row r="2" spans="1:4" ht="18" x14ac:dyDescent="0.35">
      <c r="B2" s="38" t="s">
        <v>165</v>
      </c>
    </row>
    <row r="5" spans="1:4" ht="14.4" x14ac:dyDescent="0.3">
      <c r="B5" s="1" t="s">
        <v>150</v>
      </c>
    </row>
    <row r="6" spans="1:4" ht="14.4" x14ac:dyDescent="0.3">
      <c r="A6" s="3" t="s">
        <v>52</v>
      </c>
      <c r="B6" s="1" t="s">
        <v>183</v>
      </c>
    </row>
    <row r="7" spans="1:4" ht="14.4" x14ac:dyDescent="0.3">
      <c r="A7" s="3" t="s">
        <v>152</v>
      </c>
      <c r="B7" s="1"/>
    </row>
    <row r="10" spans="1:4" ht="23.4" x14ac:dyDescent="0.45">
      <c r="A10" s="17" t="s">
        <v>161</v>
      </c>
    </row>
    <row r="11" spans="1:4" ht="14.4" x14ac:dyDescent="0.3">
      <c r="A11" s="30" t="s">
        <v>85</v>
      </c>
      <c r="B11" s="16" t="s">
        <v>86</v>
      </c>
      <c r="C11" s="16" t="s">
        <v>87</v>
      </c>
      <c r="D11" s="2" t="s">
        <v>182</v>
      </c>
    </row>
    <row r="12" spans="1:4" ht="14.4" x14ac:dyDescent="0.3">
      <c r="A12" s="30">
        <v>44927</v>
      </c>
      <c r="B12" s="16" t="s">
        <v>58</v>
      </c>
      <c r="C12" s="16">
        <v>200</v>
      </c>
      <c r="D12" s="2">
        <f>IFERROR(C12,20)</f>
        <v>200</v>
      </c>
    </row>
    <row r="13" spans="1:4" ht="14.4" x14ac:dyDescent="0.3">
      <c r="A13" s="30">
        <v>44928</v>
      </c>
      <c r="B13" s="16" t="s">
        <v>59</v>
      </c>
      <c r="C13" s="16" t="e">
        <v>#N/A</v>
      </c>
      <c r="D13" s="2">
        <f t="shared" ref="D13:D20" si="0">IFERROR(C13,20)</f>
        <v>20</v>
      </c>
    </row>
    <row r="14" spans="1:4" ht="14.4" x14ac:dyDescent="0.3">
      <c r="A14" s="30">
        <v>44929</v>
      </c>
      <c r="B14" s="16" t="s">
        <v>60</v>
      </c>
      <c r="C14" s="16">
        <v>50</v>
      </c>
      <c r="D14" s="2">
        <f t="shared" si="0"/>
        <v>50</v>
      </c>
    </row>
    <row r="15" spans="1:4" ht="14.4" x14ac:dyDescent="0.3">
      <c r="A15" s="30">
        <v>44930</v>
      </c>
      <c r="B15" s="16" t="s">
        <v>61</v>
      </c>
      <c r="C15" s="16" t="e">
        <v>#N/A</v>
      </c>
      <c r="D15" s="2">
        <f t="shared" si="0"/>
        <v>20</v>
      </c>
    </row>
    <row r="16" spans="1:4" ht="14.4" x14ac:dyDescent="0.3">
      <c r="A16" s="30">
        <v>44931</v>
      </c>
      <c r="B16" s="16" t="s">
        <v>62</v>
      </c>
      <c r="C16" s="16">
        <v>10</v>
      </c>
      <c r="D16" s="2">
        <f t="shared" si="0"/>
        <v>10</v>
      </c>
    </row>
    <row r="17" spans="1:4" ht="14.4" x14ac:dyDescent="0.3">
      <c r="A17" s="30">
        <v>44932</v>
      </c>
      <c r="B17" s="16" t="s">
        <v>153</v>
      </c>
      <c r="C17" s="16">
        <v>150</v>
      </c>
      <c r="D17" s="2">
        <f t="shared" si="0"/>
        <v>150</v>
      </c>
    </row>
    <row r="18" spans="1:4" ht="14.4" x14ac:dyDescent="0.3">
      <c r="A18" s="30">
        <v>44933</v>
      </c>
      <c r="B18" s="16" t="s">
        <v>154</v>
      </c>
      <c r="C18" s="16">
        <v>80</v>
      </c>
      <c r="D18" s="2">
        <f t="shared" si="0"/>
        <v>80</v>
      </c>
    </row>
    <row r="19" spans="1:4" ht="14.4" x14ac:dyDescent="0.3">
      <c r="A19" s="30">
        <v>44934</v>
      </c>
      <c r="B19" s="16" t="s">
        <v>155</v>
      </c>
      <c r="C19" s="16" t="e">
        <v>#N/A</v>
      </c>
      <c r="D19" s="2">
        <f t="shared" si="0"/>
        <v>20</v>
      </c>
    </row>
    <row r="20" spans="1:4" ht="14.4" x14ac:dyDescent="0.3">
      <c r="A20" s="30">
        <v>44935</v>
      </c>
      <c r="B20" s="16" t="s">
        <v>156</v>
      </c>
      <c r="C20" s="16">
        <v>30</v>
      </c>
      <c r="D20" s="2">
        <f t="shared" si="0"/>
        <v>30</v>
      </c>
    </row>
    <row r="21" spans="1:4" ht="14.4" x14ac:dyDescent="0.3">
      <c r="A21" s="30">
        <v>44936</v>
      </c>
      <c r="B21" s="16" t="s">
        <v>157</v>
      </c>
      <c r="C21" s="16" t="e">
        <v>#N/A</v>
      </c>
      <c r="D21" s="2">
        <f>IFERROR(C21,20)</f>
        <v>20</v>
      </c>
    </row>
    <row r="22" spans="1:4" ht="14.4" x14ac:dyDescent="0.3">
      <c r="B22" s="16" t="s">
        <v>158</v>
      </c>
      <c r="C22" s="24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L15" sqref="L1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97</v>
      </c>
      <c r="B1" s="39" t="s">
        <v>174</v>
      </c>
    </row>
    <row r="3" spans="1:14" ht="14.4" x14ac:dyDescent="0.3">
      <c r="B3" s="1" t="s">
        <v>150</v>
      </c>
    </row>
    <row r="4" spans="1:14" ht="18" x14ac:dyDescent="0.35">
      <c r="A4" s="41" t="s">
        <v>52</v>
      </c>
      <c r="B4" s="1" t="s">
        <v>184</v>
      </c>
    </row>
    <row r="5" spans="1:14" ht="18" x14ac:dyDescent="0.35">
      <c r="A5" s="41" t="s">
        <v>152</v>
      </c>
      <c r="B5" s="1"/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167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2">
        <f>VLOOKUP(VLOOKUP(A23,($M$10:$N$18),2,0),$A$10:$J$18,MATCH(VLOOKUP(B23,($M$10:$N$18),2,0),$A$9:$J$9,0),0)</f>
        <v>95</v>
      </c>
    </row>
    <row r="24" spans="1:14" ht="14.4" x14ac:dyDescent="0.3">
      <c r="A24" s="7">
        <v>10100</v>
      </c>
      <c r="B24" s="11">
        <v>10104</v>
      </c>
      <c r="C24" s="42">
        <f t="shared" ref="C24:C35" si="0">VLOOKUP(VLOOKUP(A24,($M$10:$N$18),2,0),$A$10:$J$18,MATCH(VLOOKUP(B24,($M$10:$N$18),2,0),$A$9:$J$9,0),0)</f>
        <v>-1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</row>
    <row r="33" spans="1:3" ht="14.4" x14ac:dyDescent="0.3">
      <c r="A33" s="7">
        <v>10110</v>
      </c>
      <c r="B33" s="11">
        <v>10112</v>
      </c>
      <c r="C33" s="42">
        <f t="shared" si="0"/>
        <v>115</v>
      </c>
    </row>
    <row r="34" spans="1:3" ht="14.4" x14ac:dyDescent="0.3">
      <c r="A34" s="7">
        <v>10100</v>
      </c>
      <c r="B34" s="11">
        <v>10114</v>
      </c>
      <c r="C34" s="42">
        <f t="shared" si="0"/>
        <v>480</v>
      </c>
    </row>
    <row r="35" spans="1:3" ht="14.4" x14ac:dyDescent="0.3">
      <c r="A35" s="8">
        <v>10112</v>
      </c>
      <c r="B35" s="12">
        <v>10116</v>
      </c>
      <c r="C35" s="4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 OJ KUMAR</cp:lastModifiedBy>
  <dcterms:created xsi:type="dcterms:W3CDTF">2015-02-10T17:33:11Z</dcterms:created>
  <dcterms:modified xsi:type="dcterms:W3CDTF">2023-12-10T18:16:59Z</dcterms:modified>
</cp:coreProperties>
</file>